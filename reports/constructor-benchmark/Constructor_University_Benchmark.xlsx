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36d7d225964c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nchmark" sheetId="1" r:id="R2e857a0ab1344c53"/>
    <x:sheet xmlns:r="http://schemas.openxmlformats.org/officeDocument/2006/relationships" name="Source data" sheetId="2" r:id="Rb2fa7c818d664dbf"/>
    <x:sheet xmlns:r="http://schemas.openxmlformats.org/officeDocument/2006/relationships" name="Method" sheetId="3" r:id="R7ba5a1d2b71f47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+0.0;-0.0;0.0"/>
    <x:numFmt numFmtId="202" formatCode="0"/>
  </x:numFmts>
  <x:fonts count="9">
    <x:font>
      <x:sz val="11"/>
      <x:name val="Carlito"/>
    </x:font>
    <x:font>
      <x:sz val="10"/>
      <x:color rgb="FF10243D"/>
      <x:name val="Arial"/>
    </x:font>
    <x:font>
      <x:b/>
      <x:sz val="16"/>
      <x:color rgb="FF10243D"/>
      <x:name val="Arial"/>
    </x:font>
    <x:font>
      <x:sz val="10"/>
      <x:color rgb="FF52627A"/>
      <x:name val="Arial"/>
    </x:font>
    <x:font>
      <x:b/>
      <x:sz val="10"/>
      <x:color rgb="FFFFFFFF"/>
      <x:name val="Arial"/>
    </x:font>
    <x:font>
      <x:b/>
      <x:sz val="14"/>
      <x:color rgb="FF10243D"/>
      <x:name val="Arial"/>
    </x:font>
    <x:font>
      <x:b/>
      <x:sz val="10"/>
      <x:color rgb="FF10243D"/>
      <x:name val="Arial"/>
    </x:font>
    <x:font>
      <x:sz val="10"/>
      <x:color rgb="FF10243D"/>
      <x:name val="Arial"/>
    </x:font>
    <x:font>
      <x:sz val="11"/>
      <x:color rgb="FF10243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0243D"/>
      </x:patternFill>
    </x:fill>
    <x:fill>
      <x:patternFill patternType="solid">
        <x:fgColor rgb="FFEAF5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008B80"/>
      </x:font>
    </x:dxf>
    <x:dxf>
      <x:font>
        <x:b/>
        <x:color rgb="FF9A3B32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e44d8d1e9e42c9" /><Relationship Type="http://schemas.openxmlformats.org/officeDocument/2006/relationships/theme" Target="/xl/theme/theme1.xml" Id="Rdb7d53589e754b40" /><Relationship Type="http://schemas.openxmlformats.org/officeDocument/2006/relationships/sharedStrings" Target="/xl/sharedStrings.xml" Id="Re6f882a248554f5a" /><Relationship Type="http://schemas.openxmlformats.org/officeDocument/2006/relationships/worksheet" Target="/xl/worksheets/sheet1.xml" Id="R2e857a0ab1344c53" /><Relationship Type="http://schemas.openxmlformats.org/officeDocument/2006/relationships/worksheet" Target="/xl/worksheets/sheet2.xml" Id="Rb2fa7c818d664dbf" /><Relationship Type="http://schemas.openxmlformats.org/officeDocument/2006/relationships/worksheet" Target="/xl/worksheets/sheet3.xml" Id="R7ba5a1d2b71f47a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e301e7a95eb4270" /><Relationship Type="http://schemas.openxmlformats.org/officeDocument/2006/relationships/chart" Target="/xl/drawings/charts/chart2.xml" Id="R51fbf279ba974aa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Constructor and peer median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Constructor</c:v>
          </c:tx>
          <c:spPr>
            <a:solidFill xmlns:a="http://schemas.openxmlformats.org/drawingml/2006/main">
              <a:srgbClr val="008B80"/>
            </a:solidFill>
          </c:spPr>
          <c:invertIfNegative val="0"/>
          <c:cat>
            <c:strRef>
              <c:f>'Benchmark'!$A$8:$A$12</c:f>
              <c:strCache>
                <c:ptCount val="0"/>
              </c:strCache>
            </c:strRef>
          </c:cat>
          <c:val>
            <c:numRef>
              <c:f>'Benchmark'!$B$8:$B$12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Peer median</c:v>
          </c:tx>
          <c:spPr>
            <a:solidFill xmlns:a="http://schemas.openxmlformats.org/drawingml/2006/main">
              <a:srgbClr val="7868B5"/>
            </a:solidFill>
          </c:spPr>
          <c:invertIfNegative val="0"/>
          <c:cat>
            <c:strRef>
              <c:f>'Benchmark'!$A$8:$A$12</c:f>
              <c:strCache>
                <c:ptCount val="0"/>
              </c:strCache>
            </c:strRef>
          </c:cat>
          <c:val>
            <c:numRef>
              <c:f>'Benchmark'!$C$8:$C$12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Gap against peer median (points)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Gap (points)</c:v>
          </c:tx>
          <c:spPr>
            <a:solidFill xmlns:a="http://schemas.openxmlformats.org/drawingml/2006/main">
              <a:srgbClr val="008B80"/>
            </a:solidFill>
          </c:spPr>
          <c:invertIfNegative val="0"/>
          <c:cat>
            <c:strRef>
              <c:f>'Benchmark'!$A$8:$A$12</c:f>
              <c:strCache>
                <c:ptCount val="0"/>
              </c:strCache>
            </c:strRef>
          </c:cat>
          <c:val>
            <c:numRef>
              <c:f>'Benchmark'!$D$8:$D$12</c:f>
              <c:numCache>
                <c:formatCode>+0.0;-0.0;0.0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low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30"/>
          <c:min val="-2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+0;-0;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6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301e7a95eb4270"/>
        </a:graphicData>
      </a:graphic>
    </xdr:graphicFrame>
    <xdr:clientData/>
  </xdr:twoCellAnchor>
  <xdr:twoCellAnchor>
    <xdr:from>
      <xdr:col>7</xdr:col>
      <xdr:colOff>0</xdr:colOff>
      <xdr:row>24</xdr:row>
      <xdr:rowOff>0</xdr:rowOff>
    </xdr:from>
    <xdr:to>
      <xdr:col>14</xdr:col>
      <xdr:colOff>0</xdr:colOff>
      <xdr:row>41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fbf279ba974aa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3a46066538b45f7" /></Relationships>
</file>

<file path=xl/worksheets/sheet1.xml><?xml version="1.0" encoding="utf-8"?>
<x:worksheet xmlns:x="http://schemas.openxmlformats.org/spreadsheetml/2006/main">
  <x:sheetPr>
    <x:tabColor rgb="FF10243D"/>
  </x:sheetPr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3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0" customHeight="1">
      <x:c r="A2" s="4" t="str">
        <x:v>Constructor University peer benchmark</x:v>
      </x:c>
      <x:c r="B2" s="4" t="str">
        <x:v>Constructor University peer benchmark</x:v>
      </x:c>
      <x:c r="C2" s="4" t="str">
        <x:v>Constructor University peer benchmark</x:v>
      </x:c>
      <x:c r="D2" s="4" t="str">
        <x:v>Constructor University peer benchmark</x:v>
      </x:c>
      <x:c r="E2" s="4" t="str">
        <x:v>Constructor University peer benchmark</x:v>
      </x:c>
      <x:c r="F2" s="4" t="str">
        <x:v>Constructor University peer benchmark</x:v>
      </x:c>
      <x:c r="G2" s="4" t="str">
        <x:v>Constructor University peer benchmark</x:v>
      </x:c>
      <x:c r="H2" s="4" t="str">
        <x:v>Constructor University peer benchmark</x:v>
      </x:c>
      <x:c r="I2" s="4" t="str">
        <x:v>Constructor University peer benchmark</x:v>
      </x:c>
      <x:c r="J2" s="4" t="str">
        <x:v>Constructor University peer benchmark</x:v>
      </x:c>
      <x:c r="K2" s="4" t="str">
        <x:v>Constructor University peer benchmark</x:v>
      </x:c>
      <x:c r="L2" s="4" t="str">
        <x:v>Constructor University peer benchmark</x:v>
      </x:c>
      <x:c r="M2" s="4" t="str">
        <x:v>Constructor University peer benchmark</x:v>
      </x:c>
      <x:c r="N2" s="4" t="str">
        <x:v>Constructor University peer benchmark</x:v>
      </x:c>
    </x:row>
    <x:row r="3" ht="19" customHeight="1">
      <x:c r="A3" s="6" t="str">
        <x:v>Five ranked German peers selected by proximity of rank-band lower bounds. Snapshot: 16 October 2026. Ranking edition unverified.</x:v>
      </x:c>
      <x:c r="B3" s="6" t="str">
        <x:v>Five ranked German peers selected by proximity of rank-band lower bounds. Snapshot: 16 October 2026. Ranking edition unverified.</x:v>
      </x:c>
      <x:c r="C3" s="6" t="str">
        <x:v>Five ranked German peers selected by proximity of rank-band lower bounds. Snapshot: 16 October 2026. Ranking edition unverified.</x:v>
      </x:c>
      <x:c r="D3" s="6" t="str">
        <x:v>Five ranked German peers selected by proximity of rank-band lower bounds. Snapshot: 16 October 2026. Ranking edition unverified.</x:v>
      </x:c>
      <x:c r="E3" s="6" t="str">
        <x:v>Five ranked German peers selected by proximity of rank-band lower bounds. Snapshot: 16 October 2026. Ranking edition unverified.</x:v>
      </x:c>
      <x:c r="F3" s="6" t="str">
        <x:v>Five ranked German peers selected by proximity of rank-band lower bounds. Snapshot: 16 October 2026. Ranking edition unverified.</x:v>
      </x:c>
      <x:c r="G3" s="6" t="str">
        <x:v>Five ranked German peers selected by proximity of rank-band lower bounds. Snapshot: 16 October 2026. Ranking edition unverified.</x:v>
      </x:c>
      <x:c r="H3" s="6" t="str">
        <x:v>Five ranked German peers selected by proximity of rank-band lower bounds. Snapshot: 16 October 2026. Ranking edition unverified.</x:v>
      </x:c>
      <x:c r="I3" s="6" t="str">
        <x:v>Five ranked German peers selected by proximity of rank-band lower bounds. Snapshot: 16 October 2026. Ranking edition unverified.</x:v>
      </x:c>
      <x:c r="J3" s="6" t="str">
        <x:v>Five ranked German peers selected by proximity of rank-band lower bounds. Snapshot: 16 October 2026. Ranking edition unverified.</x:v>
      </x:c>
      <x:c r="K3" s="6" t="str">
        <x:v>Five ranked German peers selected by proximity of rank-band lower bounds. Snapshot: 16 October 2026. Ranking edition unverified.</x:v>
      </x:c>
      <x:c r="L3" s="6" t="str">
        <x:v>Five ranked German peers selected by proximity of rank-band lower bounds. Snapshot: 16 October 2026. Ranking edition unverified.</x:v>
      </x:c>
      <x:c r="M3" s="6" t="str">
        <x:v>Five ranked German peers selected by proximity of rank-band lower bounds. Snapshot: 16 October 2026. Ranking edition unverified.</x:v>
      </x:c>
      <x:c r="N3" s="6" t="str">
        <x:v>Five ranked German peers selected by proximity of rank-band lower bounds. Snapshot: 16 October 2026. Ranking edition unverified.</x:v>
      </x:c>
    </x:row>
    <x:row r="4" ht="19" customHeight="1">
      <x:c r="A4" s="6" t="str">
        <x:v>Five ranked German peers selected by proximity of rank-band lower bounds. Snapshot: 16 October 2026. Ranking edition unverified.</x:v>
      </x:c>
      <x:c r="B4" s="6" t="str">
        <x:v>Five ranked German peers selected by proximity of rank-band lower bounds. Snapshot: 16 October 2026. Ranking edition unverified.</x:v>
      </x:c>
      <x:c r="C4" s="6" t="str">
        <x:v>Five ranked German peers selected by proximity of rank-band lower bounds. Snapshot: 16 October 2026. Ranking edition unverified.</x:v>
      </x:c>
      <x:c r="D4" s="6" t="str">
        <x:v>Five ranked German peers selected by proximity of rank-band lower bounds. Snapshot: 16 October 2026. Ranking edition unverified.</x:v>
      </x:c>
      <x:c r="E4" s="6" t="str">
        <x:v>Five ranked German peers selected by proximity of rank-band lower bounds. Snapshot: 16 October 2026. Ranking edition unverified.</x:v>
      </x:c>
      <x:c r="F4" s="6" t="str">
        <x:v>Five ranked German peers selected by proximity of rank-band lower bounds. Snapshot: 16 October 2026. Ranking edition unverified.</x:v>
      </x:c>
      <x:c r="G4" s="6" t="str">
        <x:v>Five ranked German peers selected by proximity of rank-band lower bounds. Snapshot: 16 October 2026. Ranking edition unverified.</x:v>
      </x:c>
      <x:c r="H4" s="6" t="str">
        <x:v>Five ranked German peers selected by proximity of rank-band lower bounds. Snapshot: 16 October 2026. Ranking edition unverified.</x:v>
      </x:c>
      <x:c r="I4" s="6" t="str">
        <x:v>Five ranked German peers selected by proximity of rank-band lower bounds. Snapshot: 16 October 2026. Ranking edition unverified.</x:v>
      </x:c>
      <x:c r="J4" s="6" t="str">
        <x:v>Five ranked German peers selected by proximity of rank-band lower bounds. Snapshot: 16 October 2026. Ranking edition unverified.</x:v>
      </x:c>
      <x:c r="K4" s="6" t="str">
        <x:v>Five ranked German peers selected by proximity of rank-band lower bounds. Snapshot: 16 October 2026. Ranking edition unverified.</x:v>
      </x:c>
      <x:c r="L4" s="6" t="str">
        <x:v>Five ranked German peers selected by proximity of rank-band lower bounds. Snapshot: 16 October 2026. Ranking edition unverified.</x:v>
      </x:c>
      <x:c r="M4" s="6" t="str">
        <x:v>Five ranked German peers selected by proximity of rank-band lower bounds. Snapshot: 16 October 2026. Ranking edition unverified.</x:v>
      </x:c>
      <x:c r="N4" s="6" t="str">
        <x:v>Five ranked German peers selected by proximity of rank-band lower bounds. Snapshot: 16 October 2026. Ranking edition unverified.</x:v>
      </x:c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32" customHeight="1">
      <x:c r="A7" s="10" t="str">
        <x:v>Dimension</x:v>
      </x:c>
      <x:c r="B7" s="10" t="str">
        <x:v>Constructor</x:v>
      </x:c>
      <x:c r="C7" s="10" t="str">
        <x:v>Peer median</x:v>
      </x:c>
      <x:c r="D7" s="10" t="str">
        <x:v>Gap (points)</x:v>
      </x:c>
      <x:c r="E7" s="10" t="str">
        <x:v>Peer count</x:v>
      </x:c>
      <x:c r="F7" s="10" t="str">
        <x:v>Coverage</x:v>
      </x:c>
      <x:c r="G7" s="2"/>
      <x:c r="H7" s="2"/>
      <x:c r="I7" s="2"/>
      <x:c r="J7" s="2"/>
      <x:c r="K7" s="2"/>
      <x:c r="L7" s="2"/>
      <x:c r="M7" s="2"/>
      <x:c r="N7" s="2"/>
    </x:row>
    <x:row r="8" ht="22" customHeight="1">
      <x:c r="A8" s="2" t="str">
        <x:v>Teaching</x:v>
      </x:c>
      <x:c r="B8" s="14" t="n">
        <x:f>IF(ISNUMBER('Source data'!D8),'Source data'!D8,"Unavailable")</x:f>
        <x:v>39</x:v>
      </x:c>
      <x:c r="C8" s="14" t="n">
        <x:f>IF(COUNT('Source data'!D9:D13)&gt;0,MEDIAN('Source data'!D9:D13),"Unavailable")</x:f>
        <x:v>34.5</x:v>
      </x:c>
      <x:c r="D8" s="19" t="n">
        <x:f>IF(AND(ISNUMBER(B8),ISNUMBER(C8)),B8-C8,"Unavailable")</x:f>
        <x:v>4.5</x:v>
      </x:c>
      <x:c r="E8" s="20" t="n">
        <x:f>COUNT('Source data'!D9:D13)</x:f>
        <x:v>5</x:v>
      </x:c>
      <x:c r="F8" s="21" t="str">
        <x:f>IF(AND(ISNUMBER('Source data'!D8),ISNUMBER('Source data'!E8)),IF('Source data'!D8='Source data'!E8,"Exact","Range"),"Missing")</x:f>
        <x:v>Exact</x:v>
      </x:c>
      <x:c r="G8" s="2"/>
      <x:c r="H8" s="2"/>
      <x:c r="I8" s="2"/>
      <x:c r="J8" s="2"/>
      <x:c r="K8" s="2"/>
      <x:c r="L8" s="2"/>
      <x:c r="M8" s="2"/>
      <x:c r="N8" s="2"/>
    </x:row>
    <x:row r="9" ht="22" customHeight="1">
      <x:c r="A9" s="2" t="str">
        <x:v>Research</x:v>
      </x:c>
      <x:c r="B9" s="14" t="n">
        <x:f>IF(ISNUMBER('Source data'!F8),'Source data'!F8,"Unavailable")</x:f>
        <x:v>35.8</x:v>
      </x:c>
      <x:c r="C9" s="14" t="n">
        <x:f>IF(COUNT('Source data'!F9:F13)&gt;0,MEDIAN('Source data'!F9:F13),"Unavailable")</x:f>
        <x:v>36.9</x:v>
      </x:c>
      <x:c r="D9" s="19" t="n">
        <x:f>IF(AND(ISNUMBER(B9),ISNUMBER(C9)),B9-C9,"Unavailable")</x:f>
        <x:v>-1.1000000000000014</x:v>
      </x:c>
      <x:c r="E9" s="20" t="n">
        <x:f>COUNT('Source data'!F9:F13)</x:f>
        <x:v>5</x:v>
      </x:c>
      <x:c r="F9" s="21" t="str">
        <x:f>IF(AND(ISNUMBER('Source data'!F8),ISNUMBER('Source data'!G8)),IF('Source data'!F8='Source data'!G8,"Exact","Range"),"Missing")</x:f>
        <x:v>Exact</x:v>
      </x:c>
      <x:c r="G9" s="2"/>
      <x:c r="H9" s="2"/>
      <x:c r="I9" s="2"/>
      <x:c r="J9" s="2"/>
      <x:c r="K9" s="2"/>
      <x:c r="L9" s="2"/>
      <x:c r="M9" s="2"/>
      <x:c r="N9" s="2"/>
    </x:row>
    <x:row r="10" ht="22" customHeight="1">
      <x:c r="A10" s="2" t="str">
        <x:v>Citations</x:v>
      </x:c>
      <x:c r="B10" s="14" t="n">
        <x:f>IF(ISNUMBER('Source data'!H8),'Source data'!H8,"Unavailable")</x:f>
        <x:v>60.9</x:v>
      </x:c>
      <x:c r="C10" s="14" t="n">
        <x:f>IF(COUNT('Source data'!H9:H13)&gt;0,MEDIAN('Source data'!H9:H13),"Unavailable")</x:f>
        <x:v>72.9</x:v>
      </x:c>
      <x:c r="D10" s="19" t="n">
        <x:f>IF(AND(ISNUMBER(B10),ISNUMBER(C10)),B10-C10,"Unavailable")</x:f>
        <x:v>-12.000000000000007</x:v>
      </x:c>
      <x:c r="E10" s="20" t="n">
        <x:f>COUNT('Source data'!H9:H13)</x:f>
        <x:v>5</x:v>
      </x:c>
      <x:c r="F10" s="21" t="str">
        <x:f>IF(AND(ISNUMBER('Source data'!H8),ISNUMBER('Source data'!I8)),IF('Source data'!H8='Source data'!I8,"Exact","Range"),"Missing")</x:f>
        <x:v>Exact</x:v>
      </x:c>
      <x:c r="G10" s="2"/>
      <x:c r="H10" s="2"/>
      <x:c r="I10" s="2"/>
      <x:c r="J10" s="2"/>
      <x:c r="K10" s="2"/>
      <x:c r="L10" s="2"/>
      <x:c r="M10" s="2"/>
      <x:c r="N10" s="2"/>
    </x:row>
    <x:row r="11" ht="22" customHeight="1">
      <x:c r="A11" s="2" t="str">
        <x:v>Industry</x:v>
      </x:c>
      <x:c r="B11" s="14" t="n">
        <x:f>IF(ISNUMBER('Source data'!J8),'Source data'!J8,"Unavailable")</x:f>
        <x:v>84.8</x:v>
      </x:c>
      <x:c r="C11" s="14" t="n">
        <x:f>IF(COUNT('Source data'!J9:J13)&gt;0,MEDIAN('Source data'!J9:J13),"Unavailable")</x:f>
        <x:v>76.7</x:v>
      </x:c>
      <x:c r="D11" s="19" t="n">
        <x:f>IF(AND(ISNUMBER(B11),ISNUMBER(C11)),B11-C11,"Unavailable")</x:f>
        <x:v>8.099999999999994</x:v>
      </x:c>
      <x:c r="E11" s="20" t="n">
        <x:f>COUNT('Source data'!J9:J13)</x:f>
        <x:v>5</x:v>
      </x:c>
      <x:c r="F11" s="21" t="str">
        <x:f>IF(AND(ISNUMBER('Source data'!J8),ISNUMBER('Source data'!K8)),IF('Source data'!J8='Source data'!K8,"Exact","Range"),"Missing")</x:f>
        <x:v>Exact</x:v>
      </x:c>
      <x:c r="G11" s="2"/>
      <x:c r="H11" s="2"/>
      <x:c r="I11" s="2"/>
      <x:c r="J11" s="2"/>
      <x:c r="K11" s="2"/>
      <x:c r="L11" s="2"/>
      <x:c r="M11" s="2"/>
      <x:c r="N11" s="2"/>
    </x:row>
    <x:row r="12" ht="22" customHeight="1">
      <x:c r="A12" s="2" t="str">
        <x:v>Intl outlook</x:v>
      </x:c>
      <x:c r="B12" s="14" t="n">
        <x:f>IF(ISNUMBER('Source data'!L8),'Source data'!L8,"Unavailable")</x:f>
        <x:v>92.6</x:v>
      </x:c>
      <x:c r="C12" s="14" t="n">
        <x:f>IF(COUNT('Source data'!L9:L13)&gt;0,MEDIAN('Source data'!L9:L13),"Unavailable")</x:f>
        <x:v>65.4</x:v>
      </x:c>
      <x:c r="D12" s="19" t="n">
        <x:f>IF(AND(ISNUMBER(B12),ISNUMBER(C12)),B12-C12,"Unavailable")</x:f>
        <x:v>27.19999999999999</x:v>
      </x:c>
      <x:c r="E12" s="20" t="n">
        <x:f>COUNT('Source data'!L9:L13)</x:f>
        <x:v>5</x:v>
      </x:c>
      <x:c r="F12" s="21" t="str">
        <x:f>IF(AND(ISNUMBER('Source data'!L8),ISNUMBER('Source data'!M8)),IF('Source data'!L8='Source data'!M8,"Exact","Range"),"Missing")</x:f>
        <x:v>Exact</x:v>
      </x:c>
      <x:c r="G12" s="2"/>
      <x:c r="H12" s="2"/>
      <x:c r="I12" s="2"/>
      <x:c r="J12" s="2"/>
      <x:c r="K12" s="2"/>
      <x:c r="L12" s="2"/>
      <x:c r="M12" s="2"/>
      <x:c r="N12" s="2"/>
    </x:row>
    <x:row r="13" ht="22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22" customHeight="1">
      <x:c r="A14" s="6" t="str">
        <x:v>Scores run from 0 to 100. Gap = Constructor minus the five-peer median. The selected component scores are exact values; original rank bands remain intact.</x:v>
      </x:c>
      <x:c r="B14" s="6" t="str">
        <x:v>Scores run from 0 to 100. Gap = Constructor minus the five-peer median. The selected component scores are exact values; original rank bands remain intact.</x:v>
      </x:c>
      <x:c r="C14" s="6" t="str">
        <x:v>Scores run from 0 to 100. Gap = Constructor minus the five-peer median. The selected component scores are exact values; original rank bands remain intact.</x:v>
      </x:c>
      <x:c r="D14" s="6" t="str">
        <x:v>Scores run from 0 to 100. Gap = Constructor minus the five-peer median. The selected component scores are exact values; original rank bands remain intact.</x:v>
      </x:c>
      <x:c r="E14" s="6" t="str">
        <x:v>Scores run from 0 to 100. Gap = Constructor minus the five-peer median. The selected component scores are exact values; original rank bands remain intact.</x:v>
      </x:c>
      <x:c r="F14" s="6" t="str">
        <x:v>Scores run from 0 to 100. Gap = Constructor minus the five-peer median. The selected component scores are exact values; original rank bands remain intact.</x:v>
      </x:c>
      <x:c r="G14" s="2"/>
      <x:c r="H14" s="2"/>
      <x:c r="I14" s="2"/>
      <x:c r="J14" s="2"/>
      <x:c r="K14" s="2"/>
      <x:c r="L14" s="2"/>
      <x:c r="M14" s="2"/>
      <x:c r="N14" s="2"/>
    </x:row>
    <x:row r="15" ht="22" customHeight="1">
      <x:c r="A15" s="6" t="str">
        <x:v>Scores run from 0 to 100. Gap = Constructor minus the five-peer median. The selected component scores are exact values; original rank bands remain intact.</x:v>
      </x:c>
      <x:c r="B15" s="6" t="str">
        <x:v>Scores run from 0 to 100. Gap = Constructor minus the five-peer median. The selected component scores are exact values; original rank bands remain intact.</x:v>
      </x:c>
      <x:c r="C15" s="6" t="str">
        <x:v>Scores run from 0 to 100. Gap = Constructor minus the five-peer median. The selected component scores are exact values; original rank bands remain intact.</x:v>
      </x:c>
      <x:c r="D15" s="6" t="str">
        <x:v>Scores run from 0 to 100. Gap = Constructor minus the five-peer median. The selected component scores are exact values; original rank bands remain intact.</x:v>
      </x:c>
      <x:c r="E15" s="6" t="str">
        <x:v>Scores run from 0 to 100. Gap = Constructor minus the five-peer median. The selected component scores are exact values; original rank bands remain intact.</x:v>
      </x:c>
      <x:c r="F15" s="6" t="str">
        <x:v>Scores run from 0 to 100. Gap = Constructor minus the five-peer median. The selected component scores are exact values; original rank bands remain intact.</x:v>
      </x:c>
      <x:c r="G15" s="2"/>
      <x:c r="H15" s="2"/>
      <x:c r="I15" s="2"/>
      <x:c r="J15" s="2"/>
      <x:c r="K15" s="2"/>
      <x:c r="L15" s="2"/>
      <x:c r="M15" s="2"/>
      <x:c r="N15" s="2"/>
    </x:row>
    <x:row r="16" ht="22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6" customHeight="1">
      <x:c r="A17" s="12" t="str">
        <x:v>Peer selection</x:v>
      </x:c>
      <x:c r="B17" s="12" t="str">
        <x:v>Peer selection</x:v>
      </x:c>
      <x:c r="C17" s="12" t="str">
        <x:v>Peer selection</x:v>
      </x:c>
      <x:c r="D17" s="12" t="str">
        <x:v>Peer selection</x:v>
      </x:c>
      <x:c r="E17" s="12" t="str">
        <x:v>Peer selection</x:v>
      </x:c>
      <x:c r="F17" s="12" t="str">
        <x:v>Peer selection</x:v>
      </x:c>
      <x:c r="G17" s="2"/>
      <x:c r="H17" s="2"/>
      <x:c r="I17" s="2"/>
      <x:c r="J17" s="2"/>
      <x:c r="K17" s="2"/>
      <x:c r="L17" s="2"/>
      <x:c r="M17" s="2"/>
      <x:c r="N17" s="2"/>
    </x:row>
    <x:row r="18" ht="22" customHeight="1">
      <x:c r="A18" s="23" t="str">
        <x:v>Institution</x:v>
      </x:c>
      <x:c r="B18" s="23" t="str">
        <x:v>Institution</x:v>
      </x:c>
      <x:c r="C18" s="23" t="str">
        <x:v>Institution</x:v>
      </x:c>
      <x:c r="D18" s="23" t="str">
        <x:v>Institution</x:v>
      </x:c>
      <x:c r="E18" s="23" t="str">
        <x:v>Rank band</x:v>
      </x:c>
      <x:c r="F18" s="23" t="str">
        <x:v>Rank band</x:v>
      </x:c>
      <x:c r="G18" s="2"/>
      <x:c r="H18" s="2"/>
      <x:c r="I18" s="2"/>
      <x:c r="J18" s="2"/>
      <x:c r="K18" s="2"/>
      <x:c r="L18" s="2"/>
      <x:c r="M18" s="2"/>
      <x:c r="N18" s="2"/>
    </x:row>
    <x:row r="19" ht="26" customHeight="1">
      <x:c r="A19" s="25" t="str">
        <x:v>University of Hohenheim</x:v>
      </x:c>
      <x:c r="B19" s="25" t="str">
        <x:v>University of Hohenheim</x:v>
      </x:c>
      <x:c r="C19" s="25" t="str">
        <x:v>University of Hohenheim</x:v>
      </x:c>
      <x:c r="D19" s="25" t="str">
        <x:v>University of Hohenheim</x:v>
      </x:c>
      <x:c r="E19" s="25" t="str">
        <x:v>376–400</x:v>
      </x:c>
      <x:c r="F19" s="25" t="str">
        <x:v>376–400</x:v>
      </x:c>
      <x:c r="G19" s="2"/>
      <x:c r="H19" s="2"/>
      <x:c r="I19" s="2"/>
      <x:c r="J19" s="2"/>
      <x:c r="K19" s="2"/>
      <x:c r="L19" s="2"/>
      <x:c r="M19" s="2"/>
      <x:c r="N19" s="2"/>
    </x:row>
    <x:row r="20" ht="26" customHeight="1">
      <x:c r="A20" s="25" t="str">
        <x:v>University of Marburg</x:v>
      </x:c>
      <x:c r="B20" s="25" t="str">
        <x:v>University of Marburg</x:v>
      </x:c>
      <x:c r="C20" s="25" t="str">
        <x:v>University of Marburg</x:v>
      </x:c>
      <x:c r="D20" s="25" t="str">
        <x:v>University of Marburg</x:v>
      </x:c>
      <x:c r="E20" s="25" t="str">
        <x:v>376–400</x:v>
      </x:c>
      <x:c r="F20" s="25" t="str">
        <x:v>376–400</x:v>
      </x:c>
      <x:c r="G20" s="2"/>
      <x:c r="H20" s="2"/>
      <x:c r="I20" s="2"/>
      <x:c r="J20" s="2"/>
      <x:c r="K20" s="2"/>
      <x:c r="L20" s="2"/>
      <x:c r="M20" s="2"/>
      <x:c r="N20" s="2"/>
    </x:row>
    <x:row r="21" ht="26" customHeight="1">
      <x:c r="A21" s="25" t="str">
        <x:v>Justus Liebig University Giessen</x:v>
      </x:c>
      <x:c r="B21" s="25" t="str">
        <x:v>Justus Liebig University Giessen</x:v>
      </x:c>
      <x:c r="C21" s="25" t="str">
        <x:v>Justus Liebig University Giessen</x:v>
      </x:c>
      <x:c r="D21" s="25" t="str">
        <x:v>Justus Liebig University Giessen</x:v>
      </x:c>
      <x:c r="E21" s="25" t="str">
        <x:v>401–450</x:v>
      </x:c>
      <x:c r="F21" s="25" t="str">
        <x:v>401–450</x:v>
      </x:c>
      <x:c r="G21" s="2"/>
      <x:c r="H21" s="2"/>
      <x:c r="I21" s="2"/>
      <x:c r="J21" s="2"/>
      <x:c r="K21" s="2"/>
      <x:c r="L21" s="2"/>
      <x:c r="M21" s="2"/>
      <x:c r="N21" s="2"/>
    </x:row>
    <x:row r="22" ht="26" customHeight="1">
      <x:c r="A22" s="25" t="str">
        <x:v>Leibniz University Hannover</x:v>
      </x:c>
      <x:c r="B22" s="25" t="str">
        <x:v>Leibniz University Hannover</x:v>
      </x:c>
      <x:c r="C22" s="25" t="str">
        <x:v>Leibniz University Hannover</x:v>
      </x:c>
      <x:c r="D22" s="25" t="str">
        <x:v>Leibniz University Hannover</x:v>
      </x:c>
      <x:c r="E22" s="25" t="str">
        <x:v>351–375</x:v>
      </x:c>
      <x:c r="F22" s="25" t="str">
        <x:v>351–375</x:v>
      </x:c>
      <x:c r="G22" s="2"/>
      <x:c r="H22" s="2"/>
      <x:c r="I22" s="2"/>
      <x:c r="J22" s="2"/>
      <x:c r="K22" s="2"/>
      <x:c r="L22" s="2"/>
      <x:c r="M22" s="2"/>
      <x:c r="N22" s="2"/>
    </x:row>
    <x:row r="23" ht="26" customHeight="1">
      <x:c r="A23" s="25" t="str">
        <x:v>Saarland University</x:v>
      </x:c>
      <x:c r="B23" s="25" t="str">
        <x:v>Saarland University</x:v>
      </x:c>
      <x:c r="C23" s="25" t="str">
        <x:v>Saarland University</x:v>
      </x:c>
      <x:c r="D23" s="25" t="str">
        <x:v>Saarland University</x:v>
      </x:c>
      <x:c r="E23" s="25" t="str">
        <x:v>401–450</x:v>
      </x:c>
      <x:c r="F23" s="25" t="str">
        <x:v>401–450</x:v>
      </x:c>
      <x:c r="G23" s="2"/>
      <x:c r="H23" s="2"/>
      <x:c r="I23" s="2"/>
      <x:c r="J23" s="2"/>
      <x:c r="K23" s="2"/>
      <x:c r="L23" s="2"/>
      <x:c r="M23" s="2"/>
      <x:c r="N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2" customHeight="1">
      <x:c r="A25" s="6" t="str">
        <x:v>Selection rule: exclude Constructor, retain ranked German institutions, sort by absolute distance from 376 in the rank-band lower bound, then institution name. Select five.</x:v>
      </x:c>
      <x:c r="B25" s="6" t="str">
        <x:v>Selection rule: exclude Constructor, retain ranked German institutions, sort by absolute distance from 376 in the rank-band lower bound, then institution name. Select five.</x:v>
      </x:c>
      <x:c r="C25" s="6" t="str">
        <x:v>Selection rule: exclude Constructor, retain ranked German institutions, sort by absolute distance from 376 in the rank-band lower bound, then institution name. Select five.</x:v>
      </x:c>
      <x:c r="D25" s="6" t="str">
        <x:v>Selection rule: exclude Constructor, retain ranked German institutions, sort by absolute distance from 376 in the rank-band lower bound, then institution name. Select five.</x:v>
      </x:c>
      <x:c r="E25" s="6" t="str">
        <x:v>Selection rule: exclude Constructor, retain ranked German institutions, sort by absolute distance from 376 in the rank-band lower bound, then institution name. Select five.</x:v>
      </x:c>
      <x:c r="F25" s="6" t="str">
        <x:v>Selection rule: exclude Constructor, retain ranked German institutions, sort by absolute distance from 376 in the rank-band lower bound, then institution name. Select five.</x:v>
      </x:c>
      <x:c r="G25" s="2"/>
      <x:c r="H25" s="2"/>
      <x:c r="I25" s="2"/>
      <x:c r="J25" s="2"/>
      <x:c r="K25" s="2"/>
      <x:c r="L25" s="2"/>
      <x:c r="M25" s="2"/>
      <x:c r="N25" s="2"/>
    </x:row>
    <x:row r="26" ht="22" customHeight="1">
      <x:c r="A26" s="6" t="str">
        <x:v>Selection rule: exclude Constructor, retain ranked German institutions, sort by absolute distance from 376 in the rank-band lower bound, then institution name. Select five.</x:v>
      </x:c>
      <x:c r="B26" s="6" t="str">
        <x:v>Selection rule: exclude Constructor, retain ranked German institutions, sort by absolute distance from 376 in the rank-band lower bound, then institution name. Select five.</x:v>
      </x:c>
      <x:c r="C26" s="6" t="str">
        <x:v>Selection rule: exclude Constructor, retain ranked German institutions, sort by absolute distance from 376 in the rank-band lower bound, then institution name. Select five.</x:v>
      </x:c>
      <x:c r="D26" s="6" t="str">
        <x:v>Selection rule: exclude Constructor, retain ranked German institutions, sort by absolute distance from 376 in the rank-band lower bound, then institution name. Select five.</x:v>
      </x:c>
      <x:c r="E26" s="6" t="str">
        <x:v>Selection rule: exclude Constructor, retain ranked German institutions, sort by absolute distance from 376 in the rank-band lower bound, then institution name. Select five.</x:v>
      </x:c>
      <x:c r="F26" s="6" t="str">
        <x:v>Selection rule: exclude Constructor, retain ranked German institutions, sort by absolute distance from 376 in the rank-band lower bound, then institution name. Select five.</x:v>
      </x:c>
      <x:c r="G26" s="2"/>
      <x:c r="H26" s="2"/>
      <x:c r="I26" s="2"/>
      <x:c r="J26" s="2"/>
      <x:c r="K26" s="2"/>
      <x:c r="L26" s="2"/>
      <x:c r="M26" s="2"/>
      <x:c r="N26" s="2"/>
    </x:row>
    <x:row r="27" ht="22" customHeight="1">
      <x:c r="A27" s="6" t="str">
        <x:v>Selection rule: exclude Constructor, retain ranked German institutions, sort by absolute distance from 376 in the rank-band lower bound, then institution name. Select five.</x:v>
      </x:c>
      <x:c r="B27" s="6" t="str">
        <x:v>Selection rule: exclude Constructor, retain ranked German institutions, sort by absolute distance from 376 in the rank-band lower bound, then institution name. Select five.</x:v>
      </x:c>
      <x:c r="C27" s="6" t="str">
        <x:v>Selection rule: exclude Constructor, retain ranked German institutions, sort by absolute distance from 376 in the rank-band lower bound, then institution name. Select five.</x:v>
      </x:c>
      <x:c r="D27" s="6" t="str">
        <x:v>Selection rule: exclude Constructor, retain ranked German institutions, sort by absolute distance from 376 in the rank-band lower bound, then institution name. Select five.</x:v>
      </x:c>
      <x:c r="E27" s="6" t="str">
        <x:v>Selection rule: exclude Constructor, retain ranked German institutions, sort by absolute distance from 376 in the rank-band lower bound, then institution name. Select five.</x:v>
      </x:c>
      <x:c r="F27" s="6" t="str">
        <x:v>Selection rule: exclude Constructor, retain ranked German institutions, sort by absolute distance from 376 in the rank-band lower bound, then institution name. Select five.</x:v>
      </x:c>
      <x:c r="G27" s="2"/>
      <x:c r="H27" s="2"/>
      <x:c r="I27" s="2"/>
      <x:c r="J27" s="2"/>
      <x:c r="K27" s="2"/>
      <x:c r="L27" s="2"/>
      <x:c r="M27" s="2"/>
      <x:c r="N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6" customHeight="1">
      <x:c r="A29" s="12" t="str">
        <x:v>Findings</x:v>
      </x:c>
      <x:c r="B29" s="12" t="str">
        <x:v>Findings</x:v>
      </x:c>
      <x:c r="C29" s="12" t="str">
        <x:v>Findings</x:v>
      </x:c>
      <x:c r="D29" s="12" t="str">
        <x:v>Findings</x:v>
      </x:c>
      <x:c r="E29" s="12" t="str">
        <x:v>Findings</x:v>
      </x:c>
      <x:c r="F29" s="12" t="str">
        <x:v>Findings</x:v>
      </x:c>
      <x:c r="G29" s="2"/>
      <x:c r="H29" s="2"/>
      <x:c r="I29" s="2"/>
      <x:c r="J29" s="2"/>
      <x:c r="K29" s="2"/>
      <x:c r="L29" s="2"/>
      <x:c r="M29" s="2"/>
      <x:c r="N29" s="2"/>
    </x:row>
    <x:row r="30" ht="22" customHeight="1">
      <x:c r="A30" s="27" t="str">
        <x:f>"International outlook: "&amp;TEXT(D12,"+0.0;-0.0;0.0")&amp;" points versus peer median ("&amp;TEXT(B12,"0.0")&amp;" vs "&amp;TEXT(C12,"0.0")&amp;")."</x:f>
        <x:v>International outlook: +27.2 points versus peer median (92.6 vs 65.4).</x:v>
      </x:c>
      <x:c r="B30" s="27"/>
      <x:c r="C30" s="27"/>
      <x:c r="D30" s="27"/>
      <x:c r="E30" s="27"/>
      <x:c r="F30" s="27"/>
      <x:c r="G30" s="2"/>
      <x:c r="H30" s="2"/>
      <x:c r="I30" s="2"/>
      <x:c r="J30" s="2"/>
      <x:c r="K30" s="2"/>
      <x:c r="L30" s="2"/>
      <x:c r="M30" s="2"/>
      <x:c r="N30" s="2"/>
    </x:row>
    <x:row r="31" ht="22" customHeight="1">
      <x:c r="A31" s="27"/>
      <x:c r="B31" s="27"/>
      <x:c r="C31" s="27"/>
      <x:c r="D31" s="27"/>
      <x:c r="E31" s="27"/>
      <x:c r="F31" s="27"/>
      <x:c r="G31" s="2"/>
      <x:c r="H31" s="2"/>
      <x:c r="I31" s="2"/>
      <x:c r="J31" s="2"/>
      <x:c r="K31" s="2"/>
      <x:c r="L31" s="2"/>
      <x:c r="M31" s="2"/>
      <x:c r="N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2" customHeight="1">
      <x:c r="A33" s="27" t="str">
        <x:f>"Citations: "&amp;TEXT(D10,"+0.0;-0.0;0.0")&amp;" points versus peer median ("&amp;TEXT(B10,"0.0")&amp;" vs "&amp;TEXT(C10,"0.0")&amp;")."</x:f>
        <x:v>Citations: -12.0 points versus peer median (60.9 vs 72.9).</x:v>
      </x:c>
      <x:c r="B33" s="27"/>
      <x:c r="C33" s="27"/>
      <x:c r="D33" s="27"/>
      <x:c r="E33" s="27"/>
      <x:c r="F33" s="27"/>
      <x:c r="G33" s="2"/>
      <x:c r="H33" s="2"/>
      <x:c r="I33" s="2"/>
      <x:c r="J33" s="2"/>
      <x:c r="K33" s="2"/>
      <x:c r="L33" s="2"/>
      <x:c r="M33" s="2"/>
      <x:c r="N33" s="2"/>
    </x:row>
    <x:row r="34" ht="22" customHeight="1">
      <x:c r="A34" s="27"/>
      <x:c r="B34" s="27"/>
      <x:c r="C34" s="27"/>
      <x:c r="D34" s="27"/>
      <x:c r="E34" s="27"/>
      <x:c r="F34" s="27"/>
      <x:c r="G34" s="2"/>
      <x:c r="H34" s="2"/>
      <x:c r="I34" s="2"/>
      <x:c r="J34" s="2"/>
      <x:c r="K34" s="2"/>
      <x:c r="L34" s="2"/>
      <x:c r="M34" s="2"/>
      <x:c r="N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2" customHeight="1">
      <x:c r="A36" s="6" t="str">
        <x:v>Rank proximity does not establish similarity in size, subject mix or institutional mission. These results describe this selected group and snapshot. Research alignment and partnership readiness need additional evidence.</x:v>
      </x:c>
      <x:c r="B36" s="6" t="str">
        <x:v>Rank proximity does not establish similarity in size, subject mix or institutional mission. These results describe this selected group and snapshot. Research alignment and partnership readiness need additional evidence.</x:v>
      </x:c>
      <x:c r="C36" s="6" t="str">
        <x:v>Rank proximity does not establish similarity in size, subject mix or institutional mission. These results describe this selected group and snapshot. Research alignment and partnership readiness need additional evidence.</x:v>
      </x:c>
      <x:c r="D36" s="6" t="str">
        <x:v>Rank proximity does not establish similarity in size, subject mix or institutional mission. These results describe this selected group and snapshot. Research alignment and partnership readiness need additional evidence.</x:v>
      </x:c>
      <x:c r="E36" s="6" t="str">
        <x:v>Rank proximity does not establish similarity in size, subject mix or institutional mission. These results describe this selected group and snapshot. Research alignment and partnership readiness need additional evidence.</x:v>
      </x:c>
      <x:c r="F36" s="6" t="str">
        <x:v>Rank proximity does not establish similarity in size, subject mix or institutional mission. These results describe this selected group and snapshot. Research alignment and partnership readiness need additional evidence.</x:v>
      </x:c>
      <x:c r="G36" s="2"/>
      <x:c r="H36" s="2"/>
      <x:c r="I36" s="2"/>
      <x:c r="J36" s="2"/>
      <x:c r="K36" s="2"/>
      <x:c r="L36" s="2"/>
      <x:c r="M36" s="2"/>
      <x:c r="N36" s="2"/>
    </x:row>
    <x:row r="37" ht="22" customHeight="1">
      <x:c r="A37" s="6" t="str">
        <x:v>Rank proximity does not establish similarity in size, subject mix or institutional mission. These results describe this selected group and snapshot. Research alignment and partnership readiness need additional evidence.</x:v>
      </x:c>
      <x:c r="B37" s="6" t="str">
        <x:v>Rank proximity does not establish similarity in size, subject mix or institutional mission. These results describe this selected group and snapshot. Research alignment and partnership readiness need additional evidence.</x:v>
      </x:c>
      <x:c r="C37" s="6" t="str">
        <x:v>Rank proximity does not establish similarity in size, subject mix or institutional mission. These results describe this selected group and snapshot. Research alignment and partnership readiness need additional evidence.</x:v>
      </x:c>
      <x:c r="D37" s="6" t="str">
        <x:v>Rank proximity does not establish similarity in size, subject mix or institutional mission. These results describe this selected group and snapshot. Research alignment and partnership readiness need additional evidence.</x:v>
      </x:c>
      <x:c r="E37" s="6" t="str">
        <x:v>Rank proximity does not establish similarity in size, subject mix or institutional mission. These results describe this selected group and snapshot. Research alignment and partnership readiness need additional evidence.</x:v>
      </x:c>
      <x:c r="F37" s="6" t="str">
        <x:v>Rank proximity does not establish similarity in size, subject mix or institutional mission. These results describe this selected group and snapshot. Research alignment and partnership readiness need additional evidence.</x:v>
      </x:c>
      <x:c r="G37" s="2"/>
      <x:c r="H37" s="2"/>
      <x:c r="I37" s="2"/>
      <x:c r="J37" s="2"/>
      <x:c r="K37" s="2"/>
      <x:c r="L37" s="2"/>
      <x:c r="M37" s="2"/>
      <x:c r="N37" s="2"/>
    </x:row>
    <x:row r="38" ht="22" customHeight="1">
      <x:c r="A38" s="6" t="str">
        <x:v>Rank proximity does not establish similarity in size, subject mix or institutional mission. These results describe this selected group and snapshot. Research alignment and partnership readiness need additional evidence.</x:v>
      </x:c>
      <x:c r="B38" s="6" t="str">
        <x:v>Rank proximity does not establish similarity in size, subject mix or institutional mission. These results describe this selected group and snapshot. Research alignment and partnership readiness need additional evidence.</x:v>
      </x:c>
      <x:c r="C38" s="6" t="str">
        <x:v>Rank proximity does not establish similarity in size, subject mix or institutional mission. These results describe this selected group and snapshot. Research alignment and partnership readiness need additional evidence.</x:v>
      </x:c>
      <x:c r="D38" s="6" t="str">
        <x:v>Rank proximity does not establish similarity in size, subject mix or institutional mission. These results describe this selected group and snapshot. Research alignment and partnership readiness need additional evidence.</x:v>
      </x:c>
      <x:c r="E38" s="6" t="str">
        <x:v>Rank proximity does not establish similarity in size, subject mix or institutional mission. These results describe this selected group and snapshot. Research alignment and partnership readiness need additional evidence.</x:v>
      </x:c>
      <x:c r="F38" s="6" t="str">
        <x:v>Rank proximity does not establish similarity in size, subject mix or institutional mission. These results describe this selected group and snapshot. Research alignment and partnership readiness need additional evidence.</x:v>
      </x:c>
      <x:c r="G38" s="2"/>
      <x:c r="H38" s="2"/>
      <x:c r="I38" s="2"/>
      <x:c r="J38" s="2"/>
      <x:c r="K38" s="2"/>
      <x:c r="L38" s="2"/>
      <x:c r="M38" s="2"/>
      <x:c r="N38" s="2"/>
    </x:row>
    <x:row r="39" ht="22" customHeight="1">
      <x:c r="A39" s="6" t="str">
        <x:v>Rank proximity does not establish similarity in size, subject mix or institutional mission. These results describe this selected group and snapshot. Research alignment and partnership readiness need additional evidence.</x:v>
      </x:c>
      <x:c r="B39" s="6" t="str">
        <x:v>Rank proximity does not establish similarity in size, subject mix or institutional mission. These results describe this selected group and snapshot. Research alignment and partnership readiness need additional evidence.</x:v>
      </x:c>
      <x:c r="C39" s="6" t="str">
        <x:v>Rank proximity does not establish similarity in size, subject mix or institutional mission. These results describe this selected group and snapshot. Research alignment and partnership readiness need additional evidence.</x:v>
      </x:c>
      <x:c r="D39" s="6" t="str">
        <x:v>Rank proximity does not establish similarity in size, subject mix or institutional mission. These results describe this selected group and snapshot. Research alignment and partnership readiness need additional evidence.</x:v>
      </x:c>
      <x:c r="E39" s="6" t="str">
        <x:v>Rank proximity does not establish similarity in size, subject mix or institutional mission. These results describe this selected group and snapshot. Research alignment and partnership readiness need additional evidence.</x:v>
      </x:c>
      <x:c r="F39" s="6" t="str">
        <x:v>Rank proximity does not establish similarity in size, subject mix or institutional mission. These results describe this selected group and snapshot. Research alignment and partnership readiness need additional evidence.</x:v>
      </x:c>
      <x:c r="G39" s="2"/>
      <x:c r="H39" s="2"/>
      <x:c r="I39" s="2"/>
      <x:c r="J39" s="2"/>
      <x:c r="K39" s="2"/>
      <x:c r="L39" s="2"/>
      <x:c r="M39" s="2"/>
      <x:c r="N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2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</x:sheetData>
  <x:mergeCells>
    <x:mergeCell ref="A2:N2"/>
    <x:mergeCell ref="A3:N4"/>
    <x:mergeCell ref="A14:F15"/>
    <x:mergeCell ref="A17:F17"/>
    <x:mergeCell ref="A18:D18"/>
    <x:mergeCell ref="E18:F18"/>
    <x:mergeCell ref="A19:D19"/>
    <x:mergeCell ref="E19:F19"/>
    <x:mergeCell ref="A20:D20"/>
    <x:mergeCell ref="E20:F20"/>
    <x:mergeCell ref="A21:D21"/>
    <x:mergeCell ref="E21:F21"/>
    <x:mergeCell ref="A22:D22"/>
    <x:mergeCell ref="E22:F22"/>
    <x:mergeCell ref="A23:D23"/>
    <x:mergeCell ref="E23:F23"/>
    <x:mergeCell ref="A25:F27"/>
    <x:mergeCell ref="A29:F29"/>
    <x:mergeCell ref="A30:F31"/>
    <x:mergeCell ref="A33:F34"/>
    <x:mergeCell ref="A36:F39"/>
  </x:mergeCells>
  <x:conditionalFormatting sqref="D8:D12">
    <x:cfRule type="cellIs" dxfId="0" priority="1" operator="greaterThan">
      <x:formula>0</x:formula>
    </x:cfRule>
    <x:cfRule type="cellIs" dxfId="1" priority="2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13a46066538b45f7"/>
</x:worksheet>
</file>

<file path=xl/worksheets/sheet2.xml><?xml version="1.0" encoding="utf-8"?>
<x:worksheet xmlns:x="http://schemas.openxmlformats.org/spreadsheetml/2006/main">
  <x:sheetPr>
    <x:tabColor rgb="FFC7D4E5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9" hidden="0" customWidth="1"/>
    <x:col min="2" max="2" width="13" hidden="0" customWidth="1"/>
    <x:col min="3" max="3" width="1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8" customHeight="1">
      <x:c r="A2" s="12" t="str">
        <x:v>Selected source records</x:v>
      </x:c>
      <x:c r="B2" s="12" t="str">
        <x:v>Selected source records</x:v>
      </x:c>
      <x:c r="C2" s="12" t="str">
        <x:v>Selected source records</x:v>
      </x:c>
      <x:c r="D2" s="12" t="str">
        <x:v>Selected source records</x:v>
      </x:c>
      <x:c r="E2" s="12" t="str">
        <x:v>Selected source records</x:v>
      </x:c>
      <x:c r="F2" s="12" t="str">
        <x:v>Selected source records</x:v>
      </x:c>
      <x:c r="G2" s="12" t="str">
        <x:v>Selected source records</x:v>
      </x:c>
      <x:c r="H2" s="12" t="str">
        <x:v>Selected source records</x:v>
      </x:c>
      <x:c r="I2" s="12" t="str">
        <x:v>Selected source records</x:v>
      </x:c>
      <x:c r="J2" s="12" t="str">
        <x:v>Selected source records</x:v>
      </x:c>
      <x:c r="K2" s="12" t="str">
        <x:v>Selected source records</x:v>
      </x:c>
      <x:c r="L2" s="12" t="str">
        <x:v>Selected source records</x:v>
      </x:c>
      <x:c r="M2" s="12" t="str">
        <x:v>Selected source records</x:v>
      </x:c>
      <x:c r="N2" s="2"/>
    </x:row>
    <x:row r="3" ht="22" customHeight="1">
      <x:c r="A3" s="6" t="str">
        <x:v>Source: Times Higher Education latest world-ranking page. Snapshot 16 October 2026. https://www.timeshighereducation.com/world-university-rankings/latest/world-ranking</x:v>
      </x:c>
      <x:c r="B3" s="6" t="str">
        <x:v>Source: Times Higher Education latest world-ranking page. Snapshot 16 October 2026. https://www.timeshighereducation.com/world-university-rankings/latest/world-ranking</x:v>
      </x:c>
      <x:c r="C3" s="6" t="str">
        <x:v>Source: Times Higher Education latest world-ranking page. Snapshot 16 October 2026. https://www.timeshighereducation.com/world-university-rankings/latest/world-ranking</x:v>
      </x:c>
      <x:c r="D3" s="6" t="str">
        <x:v>Source: Times Higher Education latest world-ranking page. Snapshot 16 October 2026. https://www.timeshighereducation.com/world-university-rankings/latest/world-ranking</x:v>
      </x:c>
      <x:c r="E3" s="6" t="str">
        <x:v>Source: Times Higher Education latest world-ranking page. Snapshot 16 October 2026. https://www.timeshighereducation.com/world-university-rankings/latest/world-ranking</x:v>
      </x:c>
      <x:c r="F3" s="6" t="str">
        <x:v>Source: Times Higher Education latest world-ranking page. Snapshot 16 October 2026. https://www.timeshighereducation.com/world-university-rankings/latest/world-ranking</x:v>
      </x:c>
      <x:c r="G3" s="6" t="str">
        <x:v>Source: Times Higher Education latest world-ranking page. Snapshot 16 October 2026. https://www.timeshighereducation.com/world-university-rankings/latest/world-ranking</x:v>
      </x:c>
      <x:c r="H3" s="6" t="str">
        <x:v>Source: Times Higher Education latest world-ranking page. Snapshot 16 October 2026. https://www.timeshighereducation.com/world-university-rankings/latest/world-ranking</x:v>
      </x:c>
      <x:c r="I3" s="6" t="str">
        <x:v>Source: Times Higher Education latest world-ranking page. Snapshot 16 October 2026. https://www.timeshighereducation.com/world-university-rankings/latest/world-ranking</x:v>
      </x:c>
      <x:c r="J3" s="6" t="str">
        <x:v>Source: Times Higher Education latest world-ranking page. Snapshot 16 October 2026. https://www.timeshighereducation.com/world-university-rankings/latest/world-ranking</x:v>
      </x:c>
      <x:c r="K3" s="6" t="str">
        <x:v>Source: Times Higher Education latest world-ranking page. Snapshot 16 October 2026. https://www.timeshighereducation.com/world-university-rankings/latest/world-ranking</x:v>
      </x:c>
      <x:c r="L3" s="6" t="str">
        <x:v>Source: Times Higher Education latest world-ranking page. Snapshot 16 October 2026. https://www.timeshighereducation.com/world-university-rankings/latest/world-ranking</x:v>
      </x:c>
      <x:c r="M3" s="6" t="str">
        <x:v>Source: Times Higher Education latest world-ranking page. Snapshot 16 October 2026. https://www.timeshighereducation.com/world-university-rankings/latest/world-ranking</x:v>
      </x:c>
      <x:c r="N3" s="2"/>
    </x:row>
    <x:row r="4" ht="22" customHeight="1">
      <x:c r="A4" s="6" t="str">
        <x:v>Source: Times Higher Education latest world-ranking page. Snapshot 16 October 2026. https://www.timeshighereducation.com/world-university-rankings/latest/world-ranking</x:v>
      </x:c>
      <x:c r="B4" s="6" t="str">
        <x:v>Source: Times Higher Education latest world-ranking page. Snapshot 16 October 2026. https://www.timeshighereducation.com/world-university-rankings/latest/world-ranking</x:v>
      </x:c>
      <x:c r="C4" s="6" t="str">
        <x:v>Source: Times Higher Education latest world-ranking page. Snapshot 16 October 2026. https://www.timeshighereducation.com/world-university-rankings/latest/world-ranking</x:v>
      </x:c>
      <x:c r="D4" s="6" t="str">
        <x:v>Source: Times Higher Education latest world-ranking page. Snapshot 16 October 2026. https://www.timeshighereducation.com/world-university-rankings/latest/world-ranking</x:v>
      </x:c>
      <x:c r="E4" s="6" t="str">
        <x:v>Source: Times Higher Education latest world-ranking page. Snapshot 16 October 2026. https://www.timeshighereducation.com/world-university-rankings/latest/world-ranking</x:v>
      </x:c>
      <x:c r="F4" s="6" t="str">
        <x:v>Source: Times Higher Education latest world-ranking page. Snapshot 16 October 2026. https://www.timeshighereducation.com/world-university-rankings/latest/world-ranking</x:v>
      </x:c>
      <x:c r="G4" s="6" t="str">
        <x:v>Source: Times Higher Education latest world-ranking page. Snapshot 16 October 2026. https://www.timeshighereducation.com/world-university-rankings/latest/world-ranking</x:v>
      </x:c>
      <x:c r="H4" s="6" t="str">
        <x:v>Source: Times Higher Education latest world-ranking page. Snapshot 16 October 2026. https://www.timeshighereducation.com/world-university-rankings/latest/world-ranking</x:v>
      </x:c>
      <x:c r="I4" s="6" t="str">
        <x:v>Source: Times Higher Education latest world-ranking page. Snapshot 16 October 2026. https://www.timeshighereducation.com/world-university-rankings/latest/world-ranking</x:v>
      </x:c>
      <x:c r="J4" s="6" t="str">
        <x:v>Source: Times Higher Education latest world-ranking page. Snapshot 16 October 2026. https://www.timeshighereducation.com/world-university-rankings/latest/world-ranking</x:v>
      </x:c>
      <x:c r="K4" s="6" t="str">
        <x:v>Source: Times Higher Education latest world-ranking page. Snapshot 16 October 2026. https://www.timeshighereducation.com/world-university-rankings/latest/world-ranking</x:v>
      </x:c>
      <x:c r="L4" s="6" t="str">
        <x:v>Source: Times Higher Education latest world-ranking page. Snapshot 16 October 2026. https://www.timeshighereducation.com/world-university-rankings/latest/world-ranking</x:v>
      </x:c>
      <x:c r="M4" s="6" t="str">
        <x:v>Source: Times Higher Education latest world-ranking page. Snapshot 16 October 2026. https://www.timeshighereducation.com/world-university-rankings/latest/world-ranking</x:v>
      </x:c>
      <x:c r="N4" s="2"/>
    </x:row>
    <x:row r="5" ht="24" customHeight="1">
      <x:c r="A5" s="6" t="str">
        <x:v>Local snapshot times_higher_education_rankings.csv · SHA256 376ff9e47d79 · ranking edition unverified</x:v>
      </x:c>
      <x:c r="B5" s="6" t="str">
        <x:v>Local snapshot times_higher_education_rankings.csv · SHA256 376ff9e47d79 · ranking edition unverified</x:v>
      </x:c>
      <x:c r="C5" s="6" t="str">
        <x:v>Local snapshot times_higher_education_rankings.csv · SHA256 376ff9e47d79 · ranking edition unverified</x:v>
      </x:c>
      <x:c r="D5" s="6" t="str">
        <x:v>Local snapshot times_higher_education_rankings.csv · SHA256 376ff9e47d79 · ranking edition unverified</x:v>
      </x:c>
      <x:c r="E5" s="6" t="str">
        <x:v>Local snapshot times_higher_education_rankings.csv · SHA256 376ff9e47d79 · ranking edition unverified</x:v>
      </x:c>
      <x:c r="F5" s="6" t="str">
        <x:v>Local snapshot times_higher_education_rankings.csv · SHA256 376ff9e47d79 · ranking edition unverified</x:v>
      </x:c>
      <x:c r="G5" s="6" t="str">
        <x:v>Local snapshot times_higher_education_rankings.csv · SHA256 376ff9e47d79 · ranking edition unverified</x:v>
      </x:c>
      <x:c r="H5" s="6" t="str">
        <x:v>Local snapshot times_higher_education_rankings.csv · SHA256 376ff9e47d79 · ranking edition unverified</x:v>
      </x:c>
      <x:c r="I5" s="6" t="str">
        <x:v>Local snapshot times_higher_education_rankings.csv · SHA256 376ff9e47d79 · ranking edition unverified</x:v>
      </x:c>
      <x:c r="J5" s="6" t="str">
        <x:v>Local snapshot times_higher_education_rankings.csv · SHA256 376ff9e47d79 · ranking edition unverified</x:v>
      </x:c>
      <x:c r="K5" s="6" t="str">
        <x:v>Local snapshot times_higher_education_rankings.csv · SHA256 376ff9e47d79 · ranking edition unverified</x:v>
      </x:c>
      <x:c r="L5" s="6" t="str">
        <x:v>Local snapshot times_higher_education_rankings.csv · SHA256 376ff9e47d79 · ranking edition unverified</x:v>
      </x:c>
      <x:c r="M5" s="6" t="str">
        <x:v>Local snapshot times_higher_education_rankings.csv · SHA256 376ff9e47d79 · ranking edition unverified</x:v>
      </x:c>
      <x:c r="N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44" customHeight="1">
      <x:c r="A7" s="10" t="str">
        <x:v>Institution</x:v>
      </x:c>
      <x:c r="B7" s="10" t="str">
        <x:v>Country</x:v>
      </x:c>
      <x:c r="C7" s="10" t="str">
        <x:v>Original rank band</x:v>
      </x:c>
      <x:c r="D7" s="10" t="str">
        <x:v>Teaching lower</x:v>
      </x:c>
      <x:c r="E7" s="10" t="str">
        <x:v>Teaching upper</x:v>
      </x:c>
      <x:c r="F7" s="10" t="str">
        <x:v>Research lower</x:v>
      </x:c>
      <x:c r="G7" s="10" t="str">
        <x:v>Research upper</x:v>
      </x:c>
      <x:c r="H7" s="10" t="str">
        <x:v>Citations lower</x:v>
      </x:c>
      <x:c r="I7" s="10" t="str">
        <x:v>Citations upper</x:v>
      </x:c>
      <x:c r="J7" s="10" t="str">
        <x:v>Industry income lower</x:v>
      </x:c>
      <x:c r="K7" s="10" t="str">
        <x:v>Industry income upper</x:v>
      </x:c>
      <x:c r="L7" s="10" t="str">
        <x:v>International outlook lower</x:v>
      </x:c>
      <x:c r="M7" s="10" t="str">
        <x:v>International outlook upper</x:v>
      </x:c>
      <x:c r="N7" s="2"/>
    </x:row>
    <x:row r="8" ht="22" customHeight="1">
      <x:c r="A8" s="15" t="str">
        <x:v>Constructor University</x:v>
      </x:c>
      <x:c r="B8" s="15" t="str">
        <x:v>Germany</x:v>
      </x:c>
      <x:c r="C8" s="15" t="str">
        <x:v>376–400</x:v>
      </x:c>
      <x:c r="D8" s="16" t="n">
        <x:v>39</x:v>
      </x:c>
      <x:c r="E8" s="16" t="n">
        <x:v>39</x:v>
      </x:c>
      <x:c r="F8" s="16" t="n">
        <x:v>35.8</x:v>
      </x:c>
      <x:c r="G8" s="16" t="n">
        <x:v>35.8</x:v>
      </x:c>
      <x:c r="H8" s="16" t="n">
        <x:v>60.9</x:v>
      </x:c>
      <x:c r="I8" s="16" t="n">
        <x:v>60.9</x:v>
      </x:c>
      <x:c r="J8" s="16" t="n">
        <x:v>84.8</x:v>
      </x:c>
      <x:c r="K8" s="16" t="n">
        <x:v>84.8</x:v>
      </x:c>
      <x:c r="L8" s="16" t="n">
        <x:v>92.6</x:v>
      </x:c>
      <x:c r="M8" s="16" t="n">
        <x:v>92.6</x:v>
      </x:c>
      <x:c r="N8" s="2"/>
    </x:row>
    <x:row r="9" ht="22" customHeight="1">
      <x:c r="A9" s="2" t="str">
        <x:v>University of Hohenheim</x:v>
      </x:c>
      <x:c r="B9" s="2" t="str">
        <x:v>Germany</x:v>
      </x:c>
      <x:c r="C9" s="2" t="str">
        <x:v>376–400</x:v>
      </x:c>
      <x:c r="D9" s="14" t="n">
        <x:v>34.1</x:v>
      </x:c>
      <x:c r="E9" s="14" t="n">
        <x:v>34.1</x:v>
      </x:c>
      <x:c r="F9" s="14" t="n">
        <x:v>36.9</x:v>
      </x:c>
      <x:c r="G9" s="14" t="n">
        <x:v>36.9</x:v>
      </x:c>
      <x:c r="H9" s="14" t="n">
        <x:v>73.7</x:v>
      </x:c>
      <x:c r="I9" s="14" t="n">
        <x:v>73.7</x:v>
      </x:c>
      <x:c r="J9" s="14" t="n">
        <x:v>76.9</x:v>
      </x:c>
      <x:c r="K9" s="14" t="n">
        <x:v>76.9</x:v>
      </x:c>
      <x:c r="L9" s="14" t="n">
        <x:v>61.7</x:v>
      </x:c>
      <x:c r="M9" s="14" t="n">
        <x:v>61.7</x:v>
      </x:c>
      <x:c r="N9" s="2"/>
    </x:row>
    <x:row r="10" ht="22" customHeight="1">
      <x:c r="A10" s="2" t="str">
        <x:v>University of Marburg</x:v>
      </x:c>
      <x:c r="B10" s="2" t="str">
        <x:v>Germany</x:v>
      </x:c>
      <x:c r="C10" s="2" t="str">
        <x:v>376–400</x:v>
      </x:c>
      <x:c r="D10" s="14" t="n">
        <x:v>37.5</x:v>
      </x:c>
      <x:c r="E10" s="14" t="n">
        <x:v>37.5</x:v>
      </x:c>
      <x:c r="F10" s="14" t="n">
        <x:v>34.1</x:v>
      </x:c>
      <x:c r="G10" s="14" t="n">
        <x:v>34.1</x:v>
      </x:c>
      <x:c r="H10" s="14" t="n">
        <x:v>72.6</x:v>
      </x:c>
      <x:c r="I10" s="14" t="n">
        <x:v>72.6</x:v>
      </x:c>
      <x:c r="J10" s="14" t="n">
        <x:v>73.1</x:v>
      </x:c>
      <x:c r="K10" s="14" t="n">
        <x:v>73.1</x:v>
      </x:c>
      <x:c r="L10" s="14" t="n">
        <x:v>72</x:v>
      </x:c>
      <x:c r="M10" s="14" t="n">
        <x:v>72</x:v>
      </x:c>
      <x:c r="N10" s="2"/>
    </x:row>
    <x:row r="11" ht="22" customHeight="1">
      <x:c r="A11" s="2" t="str">
        <x:v>Justus Liebig University Giessen</x:v>
      </x:c>
      <x:c r="B11" s="2" t="str">
        <x:v>Germany</x:v>
      </x:c>
      <x:c r="C11" s="2" t="str">
        <x:v>401–450</x:v>
      </x:c>
      <x:c r="D11" s="14" t="n">
        <x:v>29.5</x:v>
      </x:c>
      <x:c r="E11" s="14" t="n">
        <x:v>29.5</x:v>
      </x:c>
      <x:c r="F11" s="14" t="n">
        <x:v>38.6</x:v>
      </x:c>
      <x:c r="G11" s="14" t="n">
        <x:v>38.6</x:v>
      </x:c>
      <x:c r="H11" s="14" t="n">
        <x:v>72.9</x:v>
      </x:c>
      <x:c r="I11" s="14" t="n">
        <x:v>72.9</x:v>
      </x:c>
      <x:c r="J11" s="14" t="n">
        <x:v>70.5</x:v>
      </x:c>
      <x:c r="K11" s="14" t="n">
        <x:v>70.5</x:v>
      </x:c>
      <x:c r="L11" s="14" t="n">
        <x:v>65.4</x:v>
      </x:c>
      <x:c r="M11" s="14" t="n">
        <x:v>65.4</x:v>
      </x:c>
      <x:c r="N11" s="2"/>
    </x:row>
    <x:row r="12" ht="22" customHeight="1">
      <x:c r="A12" s="2" t="str">
        <x:v>Leibniz University Hannover</x:v>
      </x:c>
      <x:c r="B12" s="2" t="str">
        <x:v>Germany</x:v>
      </x:c>
      <x:c r="C12" s="2" t="str">
        <x:v>351–375</x:v>
      </x:c>
      <x:c r="D12" s="14" t="n">
        <x:v>38.2</x:v>
      </x:c>
      <x:c r="E12" s="14" t="n">
        <x:v>38.2</x:v>
      </x:c>
      <x:c r="F12" s="14" t="n">
        <x:v>43.1</x:v>
      </x:c>
      <x:c r="G12" s="14" t="n">
        <x:v>43.1</x:v>
      </x:c>
      <x:c r="H12" s="14" t="n">
        <x:v>68.4</x:v>
      </x:c>
      <x:c r="I12" s="14" t="n">
        <x:v>68.4</x:v>
      </x:c>
      <x:c r="J12" s="14" t="n">
        <x:v>80.9</x:v>
      </x:c>
      <x:c r="K12" s="14" t="n">
        <x:v>80.9</x:v>
      </x:c>
      <x:c r="L12" s="14" t="n">
        <x:v>57.5</x:v>
      </x:c>
      <x:c r="M12" s="14" t="n">
        <x:v>57.5</x:v>
      </x:c>
      <x:c r="N12" s="2"/>
    </x:row>
    <x:row r="13" ht="22" customHeight="1">
      <x:c r="A13" s="2" t="str">
        <x:v>Saarland University</x:v>
      </x:c>
      <x:c r="B13" s="2" t="str">
        <x:v>Germany</x:v>
      </x:c>
      <x:c r="C13" s="2" t="str">
        <x:v>401–450</x:v>
      </x:c>
      <x:c r="D13" s="14" t="n">
        <x:v>34.5</x:v>
      </x:c>
      <x:c r="E13" s="14" t="n">
        <x:v>34.5</x:v>
      </x:c>
      <x:c r="F13" s="14" t="n">
        <x:v>28</x:v>
      </x:c>
      <x:c r="G13" s="14" t="n">
        <x:v>28</x:v>
      </x:c>
      <x:c r="H13" s="14" t="n">
        <x:v>75.9</x:v>
      </x:c>
      <x:c r="I13" s="14" t="n">
        <x:v>75.9</x:v>
      </x:c>
      <x:c r="J13" s="14" t="n">
        <x:v>76.7</x:v>
      </x:c>
      <x:c r="K13" s="14" t="n">
        <x:v>76.7</x:v>
      </x:c>
      <x:c r="L13" s="14" t="n">
        <x:v>79.6</x:v>
      </x:c>
      <x:c r="M13" s="14" t="n">
        <x:v>79.6</x:v>
      </x:c>
      <x:c r="N13" s="2"/>
    </x:row>
    <x:row r="14" ht="22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22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22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2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2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2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2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2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</x:sheetData>
  <x:mergeCells>
    <x:mergeCell ref="A2:M2"/>
    <x:mergeCell ref="A3:M4"/>
    <x:mergeCell ref="A5:M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5C8C4"/>
  </x:sheetPr>
  <x:sheetViews>
    <x:sheetView showGridLines="0" workbookViewId="0"/>
  </x:sheetViews>
  <x:sheetFormatPr defaultRowHeight="15"/>
  <x:cols>
    <x:col min="1" max="1" width="25" hidden="0" customWidth="1"/>
    <x:col min="2" max="2" width="10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2" customHeight="1">
      <x:c r="A2" s="11" t="str">
        <x:v>Method and interpretation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6" customHeight="1">
      <x:c r="A5" s="22" t="str">
        <x:v>Question</x:v>
      </x:c>
      <x:c r="B5" s="26" t="str">
        <x:v>How does Constructor compare with five German institutions selected by rank-band proximity?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46" customHeight="1">
      <x:c r="A6" s="22" t="str">
        <x:v>Target</x:v>
      </x:c>
      <x:c r="B6" s="26" t="str">
        <x:v>Constructor University, Germany. Source rank band: 376–400.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46" customHeight="1">
      <x:c r="A7" s="22" t="str">
        <x:v>Peer selection</x:v>
      </x:c>
      <x:c r="B7" s="26" t="str">
        <x:v>Ranked German institutions, excluding Constructor; smallest absolute difference in rank-band lower bound; alphabetical tie-break; first five.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46" customHeight="1">
      <x:c r="A8" s="22" t="str">
        <x:v>Benchmark</x:v>
      </x:c>
      <x:c r="B8" s="26" t="str">
        <x:v>Unweighted median of the five peer scores, excluding Constructor. No imputation of missing values.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ht="46" customHeight="1">
      <x:c r="A9" s="22" t="str">
        <x:v>Units</x:v>
      </x:c>
      <x:c r="B9" s="26" t="str">
        <x:v>Component-score points on a 0–100 scale. Gaps are score points, not percentages.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46" customHeight="1">
      <x:c r="A10" s="22" t="str">
        <x:v>Intervals</x:v>
      </x:c>
      <x:c r="B10" s="26" t="str">
        <x:v>The source table stores lower and upper score bounds separately. All component scores selected here are exact. Rank bands remain text.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46" customHeight="1">
      <x:c r="A11" s="22" t="str">
        <x:v>Edition</x:v>
      </x:c>
      <x:c r="B11" s="26" t="str">
        <x:v>Ranking edition unverified. The input came from a latest URL. Use the snapshot fingerprint on Source data to identify the file.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46" customHeight="1">
      <x:c r="A12" s="22" t="str">
        <x:v>Limits</x:v>
      </x:c>
      <x:c r="B12" s="26" t="str">
        <x:v>Country and rank proximity do not establish equivalence in subject mix, size, funding or mission. This selection also depends on an alphabetical tie-break.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46" customHeight="1">
      <x:c r="A13" s="22" t="str">
        <x:v>Further evidence</x:v>
      </x:c>
      <x:c r="B13" s="26" t="str">
        <x:v>Verify ranking edition, inspect indicator methodology, then validate programme mix, research fields and institution size before making a strategic recommendation.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22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22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22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2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2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2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2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2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</x:sheetData>
  <x:pageMargins left="0.7" right="0.7" top="0.75" bottom="0.75" header="0.3" footer="0.3"/>
</x:worksheet>
</file>